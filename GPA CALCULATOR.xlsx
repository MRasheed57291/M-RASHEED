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UHAMMAD RASHEED\Desktop\"/>
    </mc:Choice>
  </mc:AlternateContent>
  <xr:revisionPtr revIDLastSave="0" documentId="8_{E0D2D691-DBB8-431C-B4DC-D16D00CE82A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" i="1" l="1"/>
  <c r="D4" i="1"/>
  <c r="E4" i="1" s="1"/>
  <c r="D3" i="1"/>
  <c r="E3" i="1" s="1"/>
  <c r="C10" i="1"/>
  <c r="D5" i="1"/>
  <c r="E5" i="1" s="1"/>
  <c r="D6" i="1"/>
  <c r="E6" i="1" s="1"/>
  <c r="D7" i="1"/>
  <c r="E7" i="1" s="1"/>
  <c r="D8" i="1"/>
  <c r="E8" i="1" s="1"/>
  <c r="B13" i="1" l="1"/>
  <c r="B14" i="1" s="1"/>
  <c r="E10" i="1"/>
  <c r="B12" i="1" s="1"/>
  <c r="D10" i="1"/>
</calcChain>
</file>

<file path=xl/sharedStrings.xml><?xml version="1.0" encoding="utf-8"?>
<sst xmlns="http://schemas.openxmlformats.org/spreadsheetml/2006/main" count="18" uniqueCount="18">
  <si>
    <t>AI</t>
  </si>
  <si>
    <t>OOP</t>
  </si>
  <si>
    <t xml:space="preserve">DS </t>
  </si>
  <si>
    <t>Marks</t>
  </si>
  <si>
    <t>ICT</t>
  </si>
  <si>
    <t>GPA</t>
  </si>
  <si>
    <t>CR. HOUR</t>
  </si>
  <si>
    <t>SUBJECTS</t>
  </si>
  <si>
    <t>CALCULATED GPA</t>
  </si>
  <si>
    <t>PAK.STD.</t>
  </si>
  <si>
    <t>COAL</t>
  </si>
  <si>
    <t>TOTAL=</t>
  </si>
  <si>
    <t>GPA=</t>
  </si>
  <si>
    <t>CGPA=</t>
  </si>
  <si>
    <t>GPA CALCULATOR</t>
  </si>
  <si>
    <t>PERCENTAGE=</t>
  </si>
  <si>
    <t>tmarks=</t>
  </si>
  <si>
    <t>obtain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</si>
</sst>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/>
    <xf numFmtId="0" fontId="0" fillId="3" borderId="1" xfId="0" applyFill="1" applyBorder="1"/>
    <xf numFmtId="0" fontId="1" fillId="4" borderId="2" xfId="0" applyFont="1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" fillId="5" borderId="0" xfId="0" applyFont="1" applyFill="1" applyAlignment="1">
      <alignment horizontal="right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zoomScaleNormal="100" workbookViewId="0">
      <selection activeCell="H7" sqref="H7"/>
    </sheetView>
  </sheetViews>
  <sheetFormatPr defaultRowHeight="14.5" x14ac:dyDescent="0.35"/>
  <cols>
    <col min="1" max="1" width="17.7265625" customWidth="1"/>
    <col min="3" max="3" width="13.453125" customWidth="1"/>
    <col min="5" max="5" width="16.453125" customWidth="1"/>
  </cols>
  <sheetData>
    <row r="1" spans="1:8" x14ac:dyDescent="0.35">
      <c r="A1" s="6" t="s">
        <v>14</v>
      </c>
      <c r="B1" s="7"/>
      <c r="C1" s="7"/>
      <c r="D1" s="7"/>
      <c r="E1" s="7"/>
    </row>
    <row r="2" spans="1:8" x14ac:dyDescent="0.35">
      <c r="A2" s="4" t="s">
        <v>7</v>
      </c>
      <c r="B2" s="4" t="s">
        <v>3</v>
      </c>
      <c r="C2" s="4" t="s">
        <v>6</v>
      </c>
      <c r="D2" s="4" t="s">
        <v>5</v>
      </c>
      <c r="E2" s="4" t="s">
        <v>8</v>
      </c>
    </row>
    <row r="3" spans="1:8" x14ac:dyDescent="0.35">
      <c r="A3" s="5" t="s">
        <v>0</v>
      </c>
      <c r="B3" s="1">
        <v>72</v>
      </c>
      <c r="C3" s="1">
        <v>3</v>
      </c>
      <c r="D3" s="1">
        <f>IF(B3&gt;=85,4,IF(B3&gt;=80,3.7,IF(B3&gt;=75,3.3,IF(B3&gt;=70,3,IF(B3&gt;=65,2.7,IF(B3&gt;=60,2.3,IF(B3&gt;=55,2,IF(B3&gt;=50,1.7,0))))))))</f>
        <v>3</v>
      </c>
      <c r="E3" s="1">
        <f>C3*D3</f>
        <v>9</v>
      </c>
    </row>
    <row r="4" spans="1:8" x14ac:dyDescent="0.35">
      <c r="A4" s="5" t="s">
        <v>1</v>
      </c>
      <c r="B4" s="1">
        <v>87</v>
      </c>
      <c r="C4" s="1">
        <v>4</v>
      </c>
      <c r="D4" s="1">
        <f>IF(B4&gt;=85,4,
 IF(B4&gt;=80,3.7,D5
 IF(B4&gt;=75,3.3,
 IF(B4&gt;=70,3,
 IF(B4&gt;=65,2.7,
 IF(B4&gt;=60,2.3,
 IF(B4&gt;=55,2,
 IF(B4&gt;=50,1.7,0))))))))</f>
        <v>4</v>
      </c>
      <c r="E4" s="1">
        <f t="shared" ref="E4:E7" si="0">C4*D4</f>
        <v>16</v>
      </c>
    </row>
    <row r="5" spans="1:8" x14ac:dyDescent="0.35">
      <c r="A5" s="5" t="s">
        <v>2</v>
      </c>
      <c r="B5" s="1">
        <v>80</v>
      </c>
      <c r="C5" s="1">
        <v>3</v>
      </c>
      <c r="D5" s="1">
        <f t="shared" ref="D5:D8" si="1">IF(B5&gt;=85,4,
 IF(B5&gt;=80,3.7,
 IF(B5&gt;=75,3.3,
 IF(B5&gt;=70,3,
 IF(B5&gt;=65,2.7,
 IF(B5&gt;=60,2.3,
 IF(B5&gt;=55,2,
 IF(B5&gt;=50,1.7,0))))))))</f>
        <v>3.7</v>
      </c>
      <c r="E5" s="1">
        <f t="shared" si="0"/>
        <v>11.100000000000001</v>
      </c>
    </row>
    <row r="6" spans="1:8" x14ac:dyDescent="0.35">
      <c r="A6" s="5" t="s">
        <v>9</v>
      </c>
      <c r="B6" s="1">
        <v>90</v>
      </c>
      <c r="C6" s="1">
        <v>2</v>
      </c>
      <c r="D6" s="1">
        <f t="shared" si="1"/>
        <v>4</v>
      </c>
      <c r="E6" s="1">
        <f t="shared" si="0"/>
        <v>8</v>
      </c>
    </row>
    <row r="7" spans="1:8" x14ac:dyDescent="0.35">
      <c r="A7" s="5" t="s">
        <v>10</v>
      </c>
      <c r="B7" s="1">
        <v>76</v>
      </c>
      <c r="C7" s="1">
        <v>3</v>
      </c>
      <c r="D7" s="1">
        <f t="shared" si="1"/>
        <v>3.3</v>
      </c>
      <c r="E7" s="1">
        <f t="shared" si="0"/>
        <v>9.8999999999999986</v>
      </c>
      <c r="G7" t="s">
        <v>16</v>
      </c>
      <c r="H7">
        <v>600</v>
      </c>
    </row>
    <row r="8" spans="1:8" x14ac:dyDescent="0.35">
      <c r="A8" s="5" t="s">
        <v>4</v>
      </c>
      <c r="B8" s="1">
        <v>50</v>
      </c>
      <c r="C8" s="1">
        <v>3</v>
      </c>
      <c r="D8" s="1">
        <f t="shared" si="1"/>
        <v>1.7</v>
      </c>
      <c r="E8" s="1">
        <f>C8*D8</f>
        <v>5.0999999999999996</v>
      </c>
      <c r="G8" t="s">
        <v>17</v>
      </c>
      <c r="H8">
        <f>SUM(B3:B8)</f>
        <v>455</v>
      </c>
    </row>
    <row r="10" spans="1:8" x14ac:dyDescent="0.35">
      <c r="B10" s="8" t="s">
        <v>11</v>
      </c>
      <c r="C10" s="2">
        <f>SUM(C3:C8)</f>
        <v>18</v>
      </c>
      <c r="D10" s="2">
        <f>SUM(D3:D8)</f>
        <v>19.7</v>
      </c>
      <c r="E10" s="3">
        <f>SUM(E3:E8)</f>
        <v>59.1</v>
      </c>
    </row>
    <row r="12" spans="1:8" x14ac:dyDescent="0.35">
      <c r="A12" s="8" t="s">
        <v>12</v>
      </c>
      <c r="B12" s="9">
        <f>E10/C10</f>
        <v>3.2833333333333332</v>
      </c>
      <c r="C12" s="2"/>
    </row>
    <row r="13" spans="1:8" x14ac:dyDescent="0.35">
      <c r="A13" s="8" t="s">
        <v>13</v>
      </c>
      <c r="B13" s="9">
        <f>SUMPRODUCT(C3:D8) /SUM(D3:D7)</f>
        <v>2.0944444444444446</v>
      </c>
    </row>
    <row r="14" spans="1:8" x14ac:dyDescent="0.35">
      <c r="A14" s="8" t="s">
        <v>15</v>
      </c>
      <c r="B14" s="9">
        <f>B13/4*100</f>
        <v>52.361111111111114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Riphah</dc:creator>
  <cp:lastModifiedBy>MUHAMMAD RASHEED</cp:lastModifiedBy>
  <dcterms:created xsi:type="dcterms:W3CDTF">2025-09-01T03:45:11Z</dcterms:created>
  <dcterms:modified xsi:type="dcterms:W3CDTF">2026-02-04T05:29:24Z</dcterms:modified>
</cp:coreProperties>
</file>